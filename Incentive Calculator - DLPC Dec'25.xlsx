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647829\AppData\Local\Microsoft\Windows\INetCache\Content.Outlook\84P77UHR\"/>
    </mc:Choice>
  </mc:AlternateContent>
  <xr:revisionPtr revIDLastSave="0" documentId="8_{925B2446-556A-427D-A1A6-79A08FC129E4}" xr6:coauthVersionLast="47" xr6:coauthVersionMax="47" xr10:uidLastSave="{00000000-0000-0000-0000-000000000000}"/>
  <bookViews>
    <workbookView xWindow="-110" yWindow="-110" windowWidth="19420" windowHeight="10300" xr2:uid="{6C968DE4-8ECF-43D3-AB60-9F5310734A45}"/>
  </bookViews>
  <sheets>
    <sheet name="INCENTIVE CALCULATOR" sheetId="6" r:id="rId1"/>
    <sheet name="Sheet2" sheetId="8" state="hidden" r:id="rId2"/>
    <sheet name="Dropdowns" sheetId="7" state="hidden" r:id="rId3"/>
  </sheets>
  <externalReferences>
    <externalReference r:id="rId4"/>
  </externalReferences>
  <definedNames>
    <definedName name="_xlnm._FilterDatabase" localSheetId="0" hidden="1">'INCENTIVE CALCULATOR'!$A$19:$W$19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C13" i="6" a="1"/>
  <c r="C13" i="6" s="1"/>
  <c r="I12" i="6"/>
  <c r="H12" i="6"/>
  <c r="G12" i="6"/>
  <c r="F12" i="6"/>
  <c r="E12" i="6"/>
  <c r="D12" i="6"/>
  <c r="C12" i="6"/>
  <c r="F9" i="6"/>
  <c r="G9" i="6"/>
  <c r="H9" i="6"/>
  <c r="I9" i="6"/>
  <c r="C21" i="6" l="1"/>
  <c r="C18" i="6"/>
  <c r="W31" i="6" s="1"/>
  <c r="L19" i="6"/>
  <c r="L17" i="6" s="1"/>
  <c r="L11" i="6"/>
  <c r="C23" i="6" s="1"/>
  <c r="C19" i="6" l="1"/>
  <c r="C17" i="6"/>
  <c r="V31" i="6" l="1"/>
  <c r="C22" i="6" s="1"/>
  <c r="G25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<sst xmlns="http://schemas.openxmlformats.org/spreadsheetml/2006/main" count="84" uniqueCount="69">
  <si>
    <t>NOP</t>
  </si>
  <si>
    <t>TRAD Ticket Size (WRP)</t>
  </si>
  <si>
    <t>Reward per policy</t>
  </si>
  <si>
    <t>PPT / Product Premium</t>
  </si>
  <si>
    <t>NA</t>
  </si>
  <si>
    <t>M0</t>
  </si>
  <si>
    <t>RO&amp;SRO</t>
  </si>
  <si>
    <t>KRM&amp;SRM</t>
  </si>
  <si>
    <t>ERM1&amp;2</t>
  </si>
  <si>
    <t>BRM1&amp;2</t>
  </si>
  <si>
    <t>CRM/ABM</t>
  </si>
  <si>
    <t>M1</t>
  </si>
  <si>
    <t>M2</t>
  </si>
  <si>
    <t>DOJ+10</t>
  </si>
  <si>
    <t>Ace</t>
  </si>
  <si>
    <t>NP</t>
  </si>
  <si>
    <t>NS+</t>
  </si>
  <si>
    <t>&gt;=10 PPT</t>
  </si>
  <si>
    <t>GAIN+</t>
  </si>
  <si>
    <t>GAIN</t>
  </si>
  <si>
    <t>&lt;8 PPT</t>
  </si>
  <si>
    <t>Super HNI</t>
  </si>
  <si>
    <t>Total Incentive Earned for the Month</t>
  </si>
  <si>
    <t>WCP Reward</t>
  </si>
  <si>
    <t>ULIP</t>
  </si>
  <si>
    <t>NOP1</t>
  </si>
  <si>
    <t>Total WCP</t>
  </si>
  <si>
    <t>Total NOP</t>
  </si>
  <si>
    <t>Total Incentive</t>
  </si>
  <si>
    <t>Super HNI Incentive</t>
  </si>
  <si>
    <t>&gt;=8 PPT - &lt;10 PPT</t>
  </si>
  <si>
    <t>Total NOP Reward</t>
  </si>
  <si>
    <t>TRAD NOP Count</t>
  </si>
  <si>
    <t>NOP2</t>
  </si>
  <si>
    <t>NOP3</t>
  </si>
  <si>
    <t>NOP4</t>
  </si>
  <si>
    <t>NOP5</t>
  </si>
  <si>
    <t>NOP6</t>
  </si>
  <si>
    <t>NOP7</t>
  </si>
  <si>
    <t xml:space="preserve">TRAD </t>
  </si>
  <si>
    <r>
      <t>PPT</t>
    </r>
    <r>
      <rPr>
        <b/>
        <sz val="11"/>
        <color rgb="FFFF0000"/>
        <rFont val="Calibri"/>
        <family val="2"/>
      </rPr>
      <t>*</t>
    </r>
  </si>
  <si>
    <r>
      <t>Product Type</t>
    </r>
    <r>
      <rPr>
        <b/>
        <sz val="11"/>
        <color rgb="FFFF0000"/>
        <rFont val="Calibri"/>
        <family val="2"/>
      </rPr>
      <t>*</t>
    </r>
  </si>
  <si>
    <r>
      <t>WCP</t>
    </r>
    <r>
      <rPr>
        <b/>
        <sz val="11"/>
        <color rgb="FFFF0000"/>
        <rFont val="Calibri"/>
        <family val="2"/>
      </rPr>
      <t>*</t>
    </r>
  </si>
  <si>
    <r>
      <t>Designation</t>
    </r>
    <r>
      <rPr>
        <b/>
        <sz val="11"/>
        <color rgb="FFFF0000"/>
        <rFont val="Calibri"/>
        <family val="2"/>
      </rPr>
      <t>*</t>
    </r>
  </si>
  <si>
    <r>
      <t>Vintage</t>
    </r>
    <r>
      <rPr>
        <b/>
        <sz val="11"/>
        <color rgb="FFFF0000"/>
        <rFont val="Calibri"/>
        <family val="2"/>
      </rPr>
      <t>*</t>
    </r>
  </si>
  <si>
    <t>( M0-M2 Select only Vintage and NA in Designation )</t>
  </si>
  <si>
    <t>( Above M2 please select only designation and NA in vintage )</t>
  </si>
  <si>
    <t>NOTE</t>
  </si>
  <si>
    <t>TRAD</t>
  </si>
  <si>
    <t>1. The incentive calculated above is not the final payable amount; it is further subject to specific conditions.</t>
  </si>
  <si>
    <t>3. For GAIN+ cases, only include the TRAD value when calculating the incentive.</t>
  </si>
  <si>
    <t>Only for NISCHIT PENSION (2/3PPT) ROP – DL+PC</t>
  </si>
  <si>
    <t>NISCHIT PENSION</t>
  </si>
  <si>
    <t>(2/3PPT) ROP</t>
  </si>
  <si>
    <t>(3/2PPT) ROP</t>
  </si>
  <si>
    <t>TRAD WCP</t>
  </si>
  <si>
    <t>Total Incentive of NP</t>
  </si>
  <si>
    <r>
      <rPr>
        <b/>
        <sz val="11"/>
        <color theme="1"/>
        <rFont val="Calibri"/>
        <family val="2"/>
      </rPr>
      <t>Case Size of NP</t>
    </r>
    <r>
      <rPr>
        <b/>
        <sz val="11"/>
        <color rgb="FFFF0000"/>
        <rFont val="Calibri"/>
        <family val="2"/>
      </rPr>
      <t>*</t>
    </r>
  </si>
  <si>
    <t>WCP Weightage</t>
  </si>
  <si>
    <t>NP Slab</t>
  </si>
  <si>
    <t>Slab WCP</t>
  </si>
  <si>
    <r>
      <t>2.</t>
    </r>
    <r>
      <rPr>
        <b/>
        <sz val="11"/>
        <color theme="1"/>
        <rFont val="Calibri"/>
        <family val="2"/>
      </rPr>
      <t xml:space="preserve"> ULIPs with fewer than 10 (PPT)</t>
    </r>
    <r>
      <rPr>
        <sz val="11"/>
        <color theme="1"/>
        <rFont val="Calibri"/>
        <family val="2"/>
      </rPr>
      <t xml:space="preserve"> qualify for no incentive rewards, irrespective of the value displayed in the final incentive earned column.</t>
    </r>
  </si>
  <si>
    <t xml:space="preserve">Only enter data in front of the cells highlighted in yellow.  </t>
  </si>
  <si>
    <t>WRP Weightage % for Super Hni</t>
  </si>
  <si>
    <t>ACE</t>
  </si>
  <si>
    <t>Applicable only to Ace, Gain, Gain+,NS+</t>
  </si>
  <si>
    <t>Min premium&gt;=225000</t>
  </si>
  <si>
    <t>Every Incremental 2.25 lacabove 20 lac will get Rs 2000 extra</t>
  </si>
  <si>
    <t>SHNI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</si>
</sst>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_ ;_ @_ 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8"/>
      <name val="Calibri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164" fontId="0" fillId="0" borderId="0" xfId="1" applyNumberFormat="1" applyFont="1" applyBorder="1" applyAlignment="1" applyProtection="1">
      <alignment horizontal="right" vertical="center"/>
      <protection locked="0"/>
    </xf>
    <xf numFmtId="9" fontId="0" fillId="0" borderId="0" xfId="2" applyFont="1" applyBorder="1" applyAlignment="1" applyProtection="1">
      <alignment horizontal="right" vertical="center"/>
      <protection locked="0"/>
    </xf>
    <xf numFmtId="164" fontId="0" fillId="0" borderId="0" xfId="1" applyNumberFormat="1" applyFont="1" applyBorder="1" applyAlignment="1" applyProtection="1">
      <alignment horizontal="center" vertical="center"/>
    </xf>
    <xf numFmtId="0" fontId="4" fillId="0" borderId="4" xfId="0" applyFont="1" applyBorder="1" applyProtection="1"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right" vertical="center"/>
      <protection locked="0"/>
    </xf>
    <xf numFmtId="0" fontId="0" fillId="0" borderId="5" xfId="0" applyBorder="1" applyProtection="1">
      <protection locked="0"/>
    </xf>
    <xf numFmtId="0" fontId="0" fillId="0" borderId="5" xfId="0" applyBorder="1" applyAlignment="1" applyProtection="1">
      <alignment horizontal="right"/>
      <protection locked="0"/>
    </xf>
    <xf numFmtId="0" fontId="0" fillId="0" borderId="7" xfId="0" applyBorder="1" applyProtection="1"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2" fillId="5" borderId="7" xfId="0" applyFont="1" applyFill="1" applyBorder="1" applyProtection="1">
      <protection locked="0"/>
    </xf>
    <xf numFmtId="0" fontId="2" fillId="0" borderId="7" xfId="0" applyFont="1" applyBorder="1" applyProtection="1">
      <protection locked="0"/>
    </xf>
    <xf numFmtId="0" fontId="0" fillId="0" borderId="12" xfId="0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164" fontId="0" fillId="0" borderId="15" xfId="1" applyNumberFormat="1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2" fillId="4" borderId="16" xfId="0" applyFont="1" applyFill="1" applyBorder="1" applyProtection="1">
      <protection locked="0"/>
    </xf>
    <xf numFmtId="0" fontId="2" fillId="4" borderId="17" xfId="0" applyFont="1" applyFill="1" applyBorder="1" applyProtection="1">
      <protection locked="0"/>
    </xf>
    <xf numFmtId="0" fontId="0" fillId="4" borderId="17" xfId="0" applyFill="1" applyBorder="1" applyProtection="1">
      <protection locked="0"/>
    </xf>
    <xf numFmtId="0" fontId="2" fillId="4" borderId="18" xfId="0" applyFont="1" applyFill="1" applyBorder="1" applyProtection="1">
      <protection locked="0"/>
    </xf>
    <xf numFmtId="164" fontId="0" fillId="0" borderId="0" xfId="1" applyNumberFormat="1" applyFont="1" applyBorder="1" applyAlignment="1" applyProtection="1">
      <alignment horizontal="right" vertical="center"/>
    </xf>
    <xf numFmtId="164" fontId="2" fillId="0" borderId="0" xfId="1" applyNumberFormat="1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horizontal="left" vertical="top"/>
      <protection locked="0"/>
    </xf>
    <xf numFmtId="0" fontId="0" fillId="0" borderId="8" xfId="0" applyBorder="1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Protection="1">
      <protection locked="0"/>
    </xf>
    <xf numFmtId="9" fontId="0" fillId="0" borderId="0" xfId="0" applyNumberFormat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6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164" fontId="0" fillId="0" borderId="8" xfId="0" applyNumberFormat="1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0" fontId="0" fillId="0" borderId="19" xfId="0" applyBorder="1"/>
    <xf numFmtId="3" fontId="0" fillId="0" borderId="19" xfId="0" applyNumberFormat="1" applyBorder="1"/>
    <xf numFmtId="9" fontId="0" fillId="0" borderId="19" xfId="0" applyNumberFormat="1" applyBorder="1"/>
    <xf numFmtId="0" fontId="0" fillId="2" borderId="0" xfId="0" applyFill="1"/>
    <xf numFmtId="0" fontId="0" fillId="6" borderId="0" xfId="0" applyFill="1"/>
    <xf numFmtId="0" fontId="0" fillId="7" borderId="0" xfId="0" applyFill="1"/>
    <xf numFmtId="0" fontId="2" fillId="3" borderId="0" xfId="0" applyFont="1" applyFill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/>
      <protection locked="0"/>
    </xf>
    <xf numFmtId="0" fontId="0" fillId="0" borderId="10" xfId="0" applyBorder="1" applyAlignment="1" applyProtection="1">
      <alignment horizontal="left" vertical="top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64" fontId="2" fillId="3" borderId="3" xfId="1" applyNumberFormat="1" applyFont="1" applyFill="1" applyBorder="1" applyAlignment="1" applyProtection="1">
      <alignment horizontal="center" vertical="center"/>
    </xf>
    <xf numFmtId="164" fontId="2" fillId="3" borderId="1" xfId="1" applyNumberFormat="1" applyFont="1" applyFill="1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0</xdr:rowOff>
    </xdr:from>
    <xdr:ext cx="6029325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DA5235D-E9E6-BA22-A710-2442EBF23021}"/>
            </a:ext>
          </a:extLst>
        </xdr:cNvPr>
        <xdr:cNvSpPr/>
      </xdr:nvSpPr>
      <xdr:spPr>
        <a:xfrm>
          <a:off x="390525" y="0"/>
          <a:ext cx="6029325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FLS</a:t>
          </a:r>
          <a:r>
            <a:rPr lang="en-US" sz="2400" b="1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 </a:t>
          </a:r>
          <a:r>
            <a:rPr lang="en-US" sz="2400" b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INCENTIVE CALCULATOR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70662661\AppData\Local\Microsoft\Olk\Attachments\ooa-45f0d955-47ae-42fe-bfc9-afa18f20ce2d\e40453bb863137bac6efbd377a5fe9e96ffbbbe26273f72e15c1f9a957030702\DLPC_Monthly%20NOP.xlsx" TargetMode="External"/><Relationship Id="rId1" Type="http://schemas.openxmlformats.org/officeDocument/2006/relationships/externalLinkPath" Target="/Users/70662661/AppData/Local/Microsoft/Olk/Attachments/ooa-45f0d955-47ae-42fe-bfc9-afa18f20ce2d/e40453bb863137bac6efbd377a5fe9e96ffbbbe26273f72e15c1f9a957030702/DLPC_Monthly%20N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>
        <row r="2">
          <cell r="A2">
            <v>50000</v>
          </cell>
          <cell r="B2">
            <v>1000</v>
          </cell>
          <cell r="D2">
            <v>225000</v>
          </cell>
          <cell r="E2">
            <v>20000</v>
          </cell>
        </row>
        <row r="3">
          <cell r="A3">
            <v>55000</v>
          </cell>
          <cell r="B3">
            <v>1500</v>
          </cell>
          <cell r="D3">
            <v>400000</v>
          </cell>
          <cell r="E3">
            <v>40000</v>
          </cell>
        </row>
        <row r="4">
          <cell r="A4">
            <v>75000</v>
          </cell>
          <cell r="B4">
            <v>2500</v>
          </cell>
          <cell r="D4">
            <v>650000</v>
          </cell>
          <cell r="E4">
            <v>75000</v>
          </cell>
        </row>
        <row r="5">
          <cell r="A5">
            <v>100000</v>
          </cell>
          <cell r="B5">
            <v>4000</v>
          </cell>
          <cell r="D5">
            <v>900000</v>
          </cell>
          <cell r="E5">
            <v>90000</v>
          </cell>
        </row>
        <row r="6">
          <cell r="D6">
            <v>1500000</v>
          </cell>
          <cell r="E6">
            <v>135000</v>
          </cell>
        </row>
        <row r="7">
          <cell r="D7">
            <v>2000000</v>
          </cell>
          <cell r="E7">
            <v>175000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0020-C3E5-4AD9-90C1-DF421D617969}">
  <dimension ref="B1:W1048562"/>
  <sheetViews>
    <sheetView showGridLines="0" tabSelected="1" zoomScale="80" zoomScaleNormal="80" workbookViewId="0">
      <selection activeCell="G25" sqref="G25:H25"/>
    </sheetView>
  </sheetViews>
  <sheetFormatPr defaultColWidth="9.1796875" defaultRowHeight="14.5" zeroHeight="1" x14ac:dyDescent="0.35"/>
  <cols>
    <col min="1" max="1" width="3.453125" style="4" bestFit="1" customWidth="1"/>
    <col min="2" max="2" width="20.453125" style="4" customWidth="1"/>
    <col min="3" max="4" width="10.7265625" style="2" customWidth="1"/>
    <col min="5" max="5" width="11.81640625" style="2" customWidth="1"/>
    <col min="6" max="9" width="10.7265625" style="2" customWidth="1"/>
    <col min="10" max="10" width="10.7265625" style="3" customWidth="1"/>
    <col min="11" max="11" width="19.7265625" style="4" customWidth="1"/>
    <col min="12" max="12" width="16.1796875" style="3" customWidth="1"/>
    <col min="13" max="14" width="10.1796875" style="5" customWidth="1"/>
    <col min="15" max="15" width="3.1796875" style="4" customWidth="1"/>
    <col min="16" max="23" width="9.1796875" style="4" customWidth="1"/>
    <col min="24" max="16384" width="9.1796875" style="4"/>
  </cols>
  <sheetData>
    <row r="1" spans="2:15" ht="15" thickBot="1" x14ac:dyDescent="0.4"/>
    <row r="2" spans="2:15" ht="18.5" x14ac:dyDescent="0.45">
      <c r="B2" s="9"/>
      <c r="C2" s="10"/>
      <c r="D2" s="10"/>
      <c r="E2" s="10"/>
      <c r="F2" s="10"/>
      <c r="G2" s="10"/>
      <c r="H2" s="10"/>
      <c r="I2" s="10"/>
      <c r="J2" s="11"/>
      <c r="K2" s="12"/>
      <c r="L2" s="11"/>
      <c r="M2" s="13"/>
      <c r="N2" s="13"/>
      <c r="O2" s="47"/>
    </row>
    <row r="3" spans="2:15" ht="15" thickBot="1" x14ac:dyDescent="0.4">
      <c r="B3" s="14"/>
      <c r="O3" s="36"/>
    </row>
    <row r="4" spans="2:15" ht="15" thickBot="1" x14ac:dyDescent="0.4">
      <c r="B4" s="14"/>
      <c r="C4" s="67" t="s">
        <v>62</v>
      </c>
      <c r="D4" s="68"/>
      <c r="E4" s="68"/>
      <c r="F4" s="68"/>
      <c r="G4" s="68"/>
      <c r="H4" s="69"/>
      <c r="I4" s="75"/>
      <c r="J4" s="76"/>
      <c r="O4" s="36"/>
    </row>
    <row r="5" spans="2:15" x14ac:dyDescent="0.35">
      <c r="B5" s="14"/>
      <c r="K5" s="60" t="s">
        <v>51</v>
      </c>
      <c r="L5" s="60"/>
      <c r="M5" s="60"/>
      <c r="N5" s="60"/>
      <c r="O5" s="36"/>
    </row>
    <row r="6" spans="2:15" ht="17.25" customHeight="1" thickBot="1" x14ac:dyDescent="0.4">
      <c r="B6" s="15"/>
      <c r="C6" s="38" t="s">
        <v>25</v>
      </c>
      <c r="D6" s="38" t="s">
        <v>33</v>
      </c>
      <c r="E6" s="38" t="s">
        <v>34</v>
      </c>
      <c r="F6" s="38" t="s">
        <v>35</v>
      </c>
      <c r="G6" s="38" t="s">
        <v>36</v>
      </c>
      <c r="H6" s="38" t="s">
        <v>37</v>
      </c>
      <c r="I6" s="38" t="s">
        <v>38</v>
      </c>
      <c r="L6" s="38" t="s">
        <v>25</v>
      </c>
      <c r="M6" s="38" t="s">
        <v>33</v>
      </c>
      <c r="N6" s="38" t="s">
        <v>34</v>
      </c>
      <c r="O6" s="36"/>
    </row>
    <row r="7" spans="2:15" x14ac:dyDescent="0.35">
      <c r="B7" s="28" t="s">
        <v>41</v>
      </c>
      <c r="C7" s="25" t="s">
        <v>18</v>
      </c>
      <c r="D7" s="25" t="s">
        <v>19</v>
      </c>
      <c r="E7" s="25" t="s">
        <v>48</v>
      </c>
      <c r="F7" s="25"/>
      <c r="G7" s="25"/>
      <c r="H7" s="25"/>
      <c r="I7" s="25"/>
      <c r="K7" s="28" t="s">
        <v>41</v>
      </c>
      <c r="L7" s="25"/>
      <c r="M7" s="24"/>
      <c r="N7" s="24"/>
      <c r="O7" s="36"/>
    </row>
    <row r="8" spans="2:15" x14ac:dyDescent="0.35">
      <c r="B8" s="29" t="s">
        <v>42</v>
      </c>
      <c r="C8" s="26">
        <v>200000</v>
      </c>
      <c r="D8" s="21">
        <v>200000</v>
      </c>
      <c r="E8" s="21">
        <v>50000</v>
      </c>
      <c r="F8" s="22"/>
      <c r="G8" s="22"/>
      <c r="H8" s="22"/>
      <c r="I8" s="22"/>
      <c r="K8" s="29" t="s">
        <v>57</v>
      </c>
      <c r="L8" s="26"/>
      <c r="M8" s="21"/>
      <c r="N8" s="21"/>
      <c r="O8" s="36"/>
    </row>
    <row r="9" spans="2:15" hidden="1" x14ac:dyDescent="0.35">
      <c r="B9" s="30" t="s">
        <v>0</v>
      </c>
      <c r="C9" s="27"/>
      <c r="D9" s="27"/>
      <c r="E9" s="27"/>
      <c r="F9" s="27">
        <f t="shared" ref="F9:I9" si="0">IF(F8&gt;0,1,0)</f>
        <v>0</v>
      </c>
      <c r="G9" s="27">
        <f t="shared" si="0"/>
        <v>0</v>
      </c>
      <c r="H9" s="27">
        <f t="shared" si="0"/>
        <v>0</v>
      </c>
      <c r="I9" s="27">
        <f t="shared" si="0"/>
        <v>0</v>
      </c>
      <c r="K9" s="30"/>
      <c r="L9" s="27"/>
      <c r="M9" s="27"/>
      <c r="N9" s="27"/>
      <c r="O9" s="36"/>
    </row>
    <row r="10" spans="2:15" ht="15" thickBot="1" x14ac:dyDescent="0.4">
      <c r="B10" s="31" t="s">
        <v>40</v>
      </c>
      <c r="C10" s="27">
        <v>10</v>
      </c>
      <c r="D10" s="20">
        <v>10</v>
      </c>
      <c r="E10" s="20">
        <v>10</v>
      </c>
      <c r="F10" s="23"/>
      <c r="G10" s="23"/>
      <c r="H10" s="23"/>
      <c r="I10" s="23"/>
      <c r="K10" s="31" t="s">
        <v>40</v>
      </c>
      <c r="L10" s="27"/>
      <c r="M10" s="20"/>
      <c r="N10" s="20"/>
      <c r="O10" s="36"/>
    </row>
    <row r="11" spans="2:15" hidden="1" x14ac:dyDescent="0.35">
      <c r="B11" s="16" t="s">
        <v>32</v>
      </c>
      <c r="C11" s="58">
        <f>COUNTIF(C8:J8,"&gt;0")</f>
        <v>3</v>
      </c>
      <c r="D11" s="48"/>
      <c r="E11" s="48"/>
      <c r="F11" s="48"/>
      <c r="G11" s="48"/>
      <c r="H11" s="48"/>
      <c r="I11" s="48"/>
      <c r="K11" s="39" t="s">
        <v>55</v>
      </c>
      <c r="L11" s="6">
        <f ca="1">SUMIF(C7:I8,"TRAD",C8:I8)</f>
        <v>50000</v>
      </c>
      <c r="O11" s="36"/>
    </row>
    <row r="12" spans="2:15" hidden="1" x14ac:dyDescent="0.35">
      <c r="B12" s="16" t="s">
        <v>28</v>
      </c>
      <c r="C12" s="59">
        <f>IF(C8="","",
   _xlfn.LET(
      _xlpm.pname, UPPER(C7),
      _xlpm.isSHNI, OR(_xlpm.pname="ACE",_xlpm.pname="GAIN",_xlpm.pname="GAIN+",_xlpm.pname="NS+"),
      _xlpm.isTRADlike, OR(_xlpm.pname="TRAD", AND(_xlpm.isSHNI, C8&lt;225000)),
      IF(_xlpm.isTRADlike,
         IF(OR(C8&lt;50000,C10&lt;7),
            0,
            VLOOKUP(C8,[1]Sheet2!$A$2:$B$5,2,TRUE)*
            IF($C$11=1,0.5,1)
         ),
         0
      )
   )
)</f>
        <v>4000</v>
      </c>
      <c r="D12" s="59">
        <f>IF(D8="","",
   _xlfn.LET(
      _xlpm.pname, UPPER(D7),
      _xlpm.isSHNI, OR(_xlpm.pname="ACE",_xlpm.pname="GAIN",_xlpm.pname="GAIN+",_xlpm.pname="NS+"),
      _xlpm.isTRADlike, OR(_xlpm.pname="TRAD", AND(_xlpm.isSHNI, D8&lt;225000)),
      IF(_xlpm.isTRADlike,
         IF(OR(D8&lt;50000,D10&lt;7),
            0,
            VLOOKUP(D8,[1]Sheet2!$A$2:$B$5,2,TRUE)*
            IF($C$11=1,0.5,1)
         ),
         0
      )
   )
)</f>
        <v>4000</v>
      </c>
      <c r="E12" s="59">
        <f>IF(E8="","",
   _xlfn.LET(
      _xlpm.pname, UPPER(E7),
      _xlpm.isSHNI, OR(_xlpm.pname="ACE",_xlpm.pname="GAIN",_xlpm.pname="GAIN+",_xlpm.pname="NS+"),
      _xlpm.isTRADlike, OR(_xlpm.pname="TRAD", AND(_xlpm.isSHNI, E8&lt;225000)),
      IF(_xlpm.isTRADlike,
         IF(OR(E8&lt;50000,E10&lt;7),
            0,
            VLOOKUP(E8,[1]Sheet2!$A$2:$B$5,2,TRUE)*
            IF($C$11=1,0.5,1)
         ),
         0
      )
   )
)</f>
        <v>1000</v>
      </c>
      <c r="F12" s="59" t="str">
        <f>IF(F8="","",
   _xlfn.LET(
      _xlpm.pname, UPPER(F7),
      _xlpm.isSHNI, OR(_xlpm.pname="ACE",_xlpm.pname="GAIN",_xlpm.pname="GAIN+",_xlpm.pname="NS+"),
      _xlpm.isTRADlike, OR(_xlpm.pname="TRAD", AND(_xlpm.isSHNI, F8&lt;225000)),
      IF(_xlpm.isTRADlike,
         IF(OR(F8&lt;50000,F10&lt;7),
            0,
            VLOOKUP(F8,[1]Sheet2!$A$2:$B$5,2,TRUE)*
            IF($C$11=1,0.5,1)
         ),
         0
      )
   )
)</f>
        <v/>
      </c>
      <c r="G12" s="59" t="str">
        <f>IF(G8="","",
   _xlfn.LET(
      _xlpm.pname, UPPER(G7),
      _xlpm.isSHNI, OR(_xlpm.pname="ACE",_xlpm.pname="GAIN",_xlpm.pname="GAIN+",_xlpm.pname="NS+"),
      _xlpm.isTRADlike, OR(_xlpm.pname="TRAD", AND(_xlpm.isSHNI, G8&lt;225000)),
      IF(_xlpm.isTRADlike,
         IF(OR(G8&lt;50000,G10&lt;7),
            0,
            VLOOKUP(G8,[1]Sheet2!$A$2:$B$5,2,TRUE)*
            IF($C$11=1,0.5,1)
         ),
         0
      )
   )
)</f>
        <v/>
      </c>
      <c r="H12" s="59" t="str">
        <f>IF(H8="","",
   _xlfn.LET(
      _xlpm.pname, UPPER(H7),
      _xlpm.isSHNI, OR(_xlpm.pname="ACE",_xlpm.pname="GAIN",_xlpm.pname="GAIN+",_xlpm.pname="NS+"),
      _xlpm.isTRADlike, OR(_xlpm.pname="TRAD", AND(_xlpm.isSHNI, H8&lt;225000)),
      IF(_xlpm.isTRADlike,
         IF(OR(H8&lt;50000,H10&lt;7),
            0,
            VLOOKUP(H8,[1]Sheet2!$A$2:$B$5,2,TRUE)*
            IF($C$11=1,0.5,1)
         ),
         0
      )
   )
)</f>
        <v/>
      </c>
      <c r="I12" s="59" t="str">
        <f>IF(I8="","",
   _xlfn.LET(
      _xlpm.pname, UPPER(I7),
      _xlpm.isSHNI, OR(_xlpm.pname="ACE",_xlpm.pname="GAIN",_xlpm.pname="GAIN+",_xlpm.pname="NS+"),
      _xlpm.isTRADlike, OR(_xlpm.pname="TRAD", AND(_xlpm.isSHNI, I8&lt;225000)),
      IF(_xlpm.isTRADlike,
         IF(OR(I8&lt;50000,I10&lt;7),
            0,
            VLOOKUP(I8,[1]Sheet2!$A$2:$B$5,2,TRUE)*
            IF($C$11=1,0.5,1)
         ),
         0
      )
   )
)</f>
        <v/>
      </c>
      <c r="J12"/>
      <c r="O12" s="36"/>
    </row>
    <row r="13" spans="2:15" hidden="1" x14ac:dyDescent="0.35">
      <c r="B13" s="57" t="s">
        <v>68</v>
      </c>
      <c r="C13" s="59" cm="1">
        <f t="array" ref="C13">_xlfn.LET(
   _xlpm.wcpRange, $C$8:$J$8,
   _xlpm.prodRange, $C$7:$J$7,
   _xlpm.pptRange,  $C$10:$J$10,
   _xlpm.pnameU,    UPPER(_xlpm.prodRange),
   _xlpm.isSHNI,    ( (_xlpm.pnameU="ACE")+(_xlpm.pnameU="GAIN")+(_xlpm.pnameU="GAIN+")+(_xlpm.pnameU="NS+") )*(_xlpm.wcpRange&gt;=225000),
   _xlpm.weightedWCP, SUMPRODUCT(
                   _xlpm.isSHNI*
                   _xlpm.wcpRange*
                   IF(_xlpm.pptRange&lt;8,0.5,IF(_xlpm.pptRange&lt;10,0.8,1))
                ),
   _xlpm.effWRP, _xlpm.weightedWCP,
   IF(_xlpm.effWRP&lt;225000,
      0,
      _xlfn.LET(
         _xlpm.baseInc, VLOOKUP(_xlpm.effWRP,[1]Sheet2!$D$2:$E$7,2,TRUE),
         _xlpm.extra,   IF(_xlpm.effWRP&gt;2000000,INT((_xlpm.effWRP-2000000)/225000)*20000,0),
         _xlpm.baseInc+_xlpm.extra
      )
   )
)</f>
        <v>0</v>
      </c>
      <c r="D13" s="48"/>
      <c r="E13" s="48"/>
      <c r="F13" s="48"/>
      <c r="G13" s="48"/>
      <c r="H13" s="48"/>
      <c r="I13" s="48"/>
      <c r="O13" s="36"/>
    </row>
    <row r="14" spans="2:15" ht="15" thickBot="1" x14ac:dyDescent="0.4">
      <c r="B14" s="14"/>
      <c r="J14" s="4"/>
      <c r="O14" s="36"/>
    </row>
    <row r="15" spans="2:15" x14ac:dyDescent="0.35">
      <c r="B15" s="28" t="s">
        <v>43</v>
      </c>
      <c r="C15" s="2" t="s">
        <v>10</v>
      </c>
      <c r="D15" s="49" t="s">
        <v>46</v>
      </c>
      <c r="L15" s="4"/>
      <c r="N15" s="40"/>
      <c r="O15" s="36"/>
    </row>
    <row r="16" spans="2:15" ht="15" thickBot="1" x14ac:dyDescent="0.4">
      <c r="B16" s="31" t="s">
        <v>44</v>
      </c>
      <c r="C16" s="2" t="s">
        <v>4</v>
      </c>
      <c r="D16" s="49" t="s">
        <v>45</v>
      </c>
      <c r="O16" s="36"/>
    </row>
    <row r="17" spans="2:23" hidden="1" x14ac:dyDescent="0.35">
      <c r="B17" s="16" t="s">
        <v>27</v>
      </c>
      <c r="C17" s="2">
        <f>SUM(C9:I9)</f>
        <v>0</v>
      </c>
      <c r="K17" s="41" t="s">
        <v>59</v>
      </c>
      <c r="L17" s="42">
        <f>L19*L8</f>
        <v>0</v>
      </c>
      <c r="O17" s="50"/>
    </row>
    <row r="18" spans="2:23" hidden="1" x14ac:dyDescent="0.35">
      <c r="B18" s="17" t="s">
        <v>26</v>
      </c>
      <c r="C18" s="33">
        <f>SUM(C8:I8)</f>
        <v>450000</v>
      </c>
      <c r="E18" s="51"/>
      <c r="O18" s="36"/>
    </row>
    <row r="19" spans="2:23" hidden="1" x14ac:dyDescent="0.35">
      <c r="B19" s="14" t="s">
        <v>60</v>
      </c>
      <c r="C19" s="51">
        <f>C18+L17</f>
        <v>450000</v>
      </c>
      <c r="E19" s="52"/>
      <c r="G19" s="51"/>
      <c r="K19" s="41" t="s">
        <v>58</v>
      </c>
      <c r="L19" s="7">
        <f>IF(L10="(2/3PPT) ROP",0.25,0.4) +
IF((L8/100000)&gt;=20,0.3,
   IF((L8/100000)&gt;=10,0.2,0))</f>
        <v>0.4</v>
      </c>
      <c r="O19" s="36"/>
    </row>
    <row r="20" spans="2:23" x14ac:dyDescent="0.35">
      <c r="B20" s="14"/>
      <c r="D20" s="52"/>
      <c r="E20" s="51"/>
      <c r="O20" s="36"/>
    </row>
    <row r="21" spans="2:23" x14ac:dyDescent="0.35">
      <c r="B21" s="18" t="s">
        <v>31</v>
      </c>
      <c r="C21" s="8">
        <f>SUM(C12:I12,C13)</f>
        <v>9000</v>
      </c>
      <c r="E21" s="51"/>
      <c r="F21" s="51"/>
      <c r="O21" s="36"/>
    </row>
    <row r="22" spans="2:23" x14ac:dyDescent="0.35">
      <c r="B22" s="18" t="s">
        <v>23</v>
      </c>
      <c r="C22" s="8">
        <f>IF(AND(C15="NA",C16&lt;&gt;"NA"),
V31,
IF(AND(C15&lt;&gt;"NA",C16="NA"),
IF(C17&lt;2,W31*70%,W31),0))</f>
        <v>9450</v>
      </c>
      <c r="O22" s="36"/>
    </row>
    <row r="23" spans="2:23" hidden="1" x14ac:dyDescent="0.35">
      <c r="B23" s="18" t="s">
        <v>56</v>
      </c>
      <c r="C23" s="32">
        <f>IF(L8=0,0,IF(L10="(2/3PPT) ROP",0.5,1)* IF((L8/100000)&lt;=5, IF((L11/100000)&lt;1.1,10000,IF((L11/100000)&lt;3,13000,17000)), IF((L8/100000)&lt;=7.5, IF((L11/100000)&lt;1.1,21000,IF((L11/100000)&lt;3,27000,35000)), IF((L8/100000)&lt;=10, IF((L11/100000)&lt;1.1,55000,IF((L11/100000)&lt;3,72000,94000)), IF((L8/100000)&lt;=15, IF((L11/100000)&lt;1.1,98000,IF((L11/100000)&lt;3,127000,166000)), IF((L11/100000)&lt;1.1,155000,IF((L11/100000)&lt;3,202000,264000)))))))</f>
        <v>0</v>
      </c>
      <c r="O23" s="36"/>
    </row>
    <row r="24" spans="2:23" ht="15" thickBot="1" x14ac:dyDescent="0.4">
      <c r="B24" s="14"/>
      <c r="O24" s="36"/>
    </row>
    <row r="25" spans="2:23" ht="45" customHeight="1" thickBot="1" x14ac:dyDescent="0.4">
      <c r="B25" s="14"/>
      <c r="C25" s="70" t="s">
        <v>22</v>
      </c>
      <c r="D25" s="71"/>
      <c r="E25" s="71"/>
      <c r="F25" s="72"/>
      <c r="G25" s="73">
        <f>SUM(C21:C23)</f>
        <v>18450</v>
      </c>
      <c r="H25" s="74"/>
      <c r="O25" s="36"/>
    </row>
    <row r="26" spans="2:23" hidden="1" x14ac:dyDescent="0.35">
      <c r="B26" s="14"/>
      <c r="O26" s="36"/>
    </row>
    <row r="27" spans="2:23" hidden="1" x14ac:dyDescent="0.35">
      <c r="B27" s="14"/>
      <c r="O27" s="36"/>
    </row>
    <row r="28" spans="2:23" x14ac:dyDescent="0.35">
      <c r="B28" s="19" t="s">
        <v>47</v>
      </c>
      <c r="O28" s="36"/>
    </row>
    <row r="29" spans="2:23" ht="14.25" customHeight="1" x14ac:dyDescent="0.35">
      <c r="B29" s="61" t="s">
        <v>49</v>
      </c>
      <c r="C29" s="62"/>
      <c r="D29" s="62"/>
      <c r="E29" s="62"/>
      <c r="F29" s="62"/>
      <c r="G29" s="62"/>
      <c r="H29" s="62"/>
      <c r="I29" s="62"/>
      <c r="J29" s="62"/>
      <c r="K29" s="43"/>
      <c r="L29" s="44"/>
      <c r="M29" s="45"/>
      <c r="N29" s="45"/>
      <c r="O29" s="36"/>
    </row>
    <row r="30" spans="2:23" ht="13.5" customHeight="1" x14ac:dyDescent="0.35">
      <c r="B30" s="63" t="s">
        <v>61</v>
      </c>
      <c r="C30" s="64"/>
      <c r="D30" s="64"/>
      <c r="E30" s="64"/>
      <c r="F30" s="64"/>
      <c r="G30" s="64"/>
      <c r="H30" s="64"/>
      <c r="I30" s="64"/>
      <c r="J30" s="37"/>
      <c r="K30" s="46"/>
      <c r="L30" s="46"/>
      <c r="M30" s="46"/>
      <c r="N30" s="46"/>
      <c r="O30" s="36"/>
    </row>
    <row r="31" spans="2:23" ht="15" thickBot="1" x14ac:dyDescent="0.4">
      <c r="B31" s="65" t="s">
        <v>50</v>
      </c>
      <c r="C31" s="66"/>
      <c r="D31" s="66"/>
      <c r="E31" s="66"/>
      <c r="F31" s="66"/>
      <c r="G31" s="66"/>
      <c r="H31" s="66"/>
      <c r="I31" s="66"/>
      <c r="J31" s="35"/>
      <c r="K31" s="34"/>
      <c r="L31" s="34"/>
      <c r="M31" s="34"/>
      <c r="N31" s="34"/>
      <c r="O31" s="53"/>
      <c r="V31" s="4">
        <f>IF(C16="DOJ+10",
     C18 * ( IF(C18&gt;=900000,20%,IF(C18&gt;=600000,16%,IF(C18&gt;=375000,14%,IF(C18&gt;=225000,10%,IF(C18&gt;=80000,7%,0)))))
             + IF(AND(C18&lt;900000,C17&gt;=3),1%,0) ),
 IF(C16="M0",
     C18 * ( IF(C18&gt;=900000,16%,IF(C18&gt;=600000,14%,IF(C18&gt;=375000,12%,IF(C18&gt;=225000,10%,IF(C18&gt;=80000,5%,0)))))
             + IF(AND(C18&lt;900000,C17&gt;=3),1%,0) ),
 IF(C16="M1",
     C18 * ( IF(C18&gt;=900000,12%,IF(C18&gt;=600000,8%,IF(C18&gt;=375000,7%,IF(C18&gt;=225000,6%,IF(C18&gt;=80000,5%,0)))))
             + IF(AND(C18&lt;900000,C17&gt;=3),1%,0) ),
 IF(C16="M2",
     C18 * ( IF(C18&gt;=900000,10%,IF(C18&gt;=600000,6.5%,IF(C18&gt;=375000,4.5%,IF(C18&gt;=225000,3%,IF(C18&gt;=80000,0,0)))))
             + IF(AND(C18&lt;900000,C17&gt;=3),1%,0) ),
 0))))</f>
        <v>0</v>
      </c>
      <c r="W31" s="4">
        <f>IF(C15="NA",0,
IF(C15="RO&amp;SRO",
 IF(C18&gt;=770000,C18*10%,IF(C18&gt;=575000,C18*8.5%,IF(C18&gt;=475000,C18*6.5%,IF(C18&gt;=300000,C18*4.5%,IF(C18&gt;=250000,C18*3.75%,IF(C18&gt;=200000,C18*3%,IF(C18&gt;=165000,C18*2%,0))))))),
IF(C15="KRM&amp;SRM",
 IF(C18&gt;=825000,C18*10%,IF(C18&gt;=700000,C18*8.5%,IF(C18&gt;=530000,C18*6.5%,IF(C18&gt;=365000,C18*4.5%,IF(C18&gt;=300000,C18*3.75%,IF(C18&gt;=245000,C18*3%,IF(C18&gt;=190000,C18*2%,0))))))),
IF(C15="ERM1&amp;2",
 IF(C18&gt;=935000,C18*10%,IF(C18&gt;=800000,C18*8.5%,IF(C18&gt;=585000,C18*6.5%,IF(C18&gt;=450000,C18*4.5%,IF(C18&gt;=365000,C18*3.75%,IF(C18&gt;=300000,C18*3%,IF(C18&gt;=200000,C18*2%,0))))))),
IF(C15="BRM1&amp;2",
 IF(C18&gt;=990000,C18*10%,IF(C18&gt;=825000,C18*8.5%,IF(C18&gt;=660000,C18*6.5%,IF(C18&gt;=510000,C18*4.5%,IF(C18&gt;=400000,C18*3.75%,IF(C18&gt;=330000,C18*3%,IF(C18&gt;=230000,C18*2%,0))))))),
IF(C15="CRM/ABM",
 IF(C18&gt;1200000,
     C18*10%,
 IF(C18&gt;=1000000,
     C18*(8.5%+IF(C17&gt;=3,1%,0)),
 IF(C18&gt;=825000,
     C18*(6.5%+IF(C17&gt;=3,1%,0)),
 IF(C18&gt;=650000,
     C18*(4.5%+IF(C17&gt;=3,1%,0)),
 IF(C18&gt;=520000,
     C18*(3.75%+IF(C17&gt;=3,1%,0)),
 IF(C18&gt;=365000,
     C18*(3%+IF(C17&gt;=3,1%,0)),
 IF(C18&gt;=245000,
     C18*(2%+IF(C17&gt;=3,1%,0)),0))))))),
0))))))</f>
        <v>13500</v>
      </c>
    </row>
    <row r="32" spans="2:23" x14ac:dyDescent="0.35"/>
    <row r="1048560" x14ac:dyDescent="0.35"/>
    <row r="1048561" x14ac:dyDescent="0.35"/>
    <row r="1048562" x14ac:dyDescent="0.35"/>
  </sheetData>
  <mergeCells count="8">
    <mergeCell ref="K5:N5"/>
    <mergeCell ref="B29:J29"/>
    <mergeCell ref="B30:I30"/>
    <mergeCell ref="B31:I31"/>
    <mergeCell ref="C4:H4"/>
    <mergeCell ref="C25:F25"/>
    <mergeCell ref="G25:H25"/>
    <mergeCell ref="I4:J4"/>
  </mergeCells>
  <phoneticPr fontId="5" type="noConversion"/>
  <dataValidations count="1">
    <dataValidation type="list" allowBlank="1" showInputMessage="1" showErrorMessage="1" sqref="S10 O9:R9" xr:uid="{C2F4A7E4-EFC2-43E3-9D0D-97B2D78F9E4D}">
      <formula1>"TRAD, ULIP, Ace, GAIN, GAIN+, NS+, NP"</formula1>
    </dataValidation>
  </dataValidations>
  <pageMargins left="0.7" right="0.7" top="0.75" bottom="0.75" header="0.3" footer="0.3"/>
  <ignoredErrors>
    <ignoredError sqref="L11 L17 C19 V31 L19 C23 G25 C17:C18 F9:I9" unlocked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9DB9EFD-C12F-4A24-BED8-92AB5E19D668}">
          <x14:formula1>
            <xm:f>Dropdowns!$D$1:$D$2</xm:f>
          </x14:formula1>
          <xm:sqref>L10:N10</xm:sqref>
        </x14:dataValidation>
        <x14:dataValidation type="list" allowBlank="1" showInputMessage="1" showErrorMessage="1" xr:uid="{83E03C4A-5B1D-48A8-8114-3F62572064F6}">
          <x14:formula1>
            <xm:f>Dropdowns!$B$1:$B$5</xm:f>
          </x14:formula1>
          <xm:sqref>C16</xm:sqref>
        </x14:dataValidation>
        <x14:dataValidation type="list" allowBlank="1" showInputMessage="1" showErrorMessage="1" xr:uid="{06D3C231-68BE-45DB-958C-041A13B0EA5F}">
          <x14:formula1>
            <xm:f>Dropdowns!$A$1:$A$6</xm:f>
          </x14:formula1>
          <xm:sqref>C15</xm:sqref>
        </x14:dataValidation>
        <x14:dataValidation type="list" allowBlank="1" showInputMessage="1" showErrorMessage="1" xr:uid="{8B035A4F-2AF3-47EF-B10B-CF16065CD57E}">
          <x14:formula1>
            <xm:f>Dropdowns!$E$1</xm:f>
          </x14:formula1>
          <xm:sqref>L7:N7</xm:sqref>
        </x14:dataValidation>
        <x14:dataValidation type="list" allowBlank="1" showInputMessage="1" showErrorMessage="1" xr:uid="{0188ED8E-777D-4195-9378-E45D03F90CC4}">
          <x14:formula1>
            <xm:f>Sheet2!$A$8:$A$13</xm:f>
          </x14:formula1>
          <xm:sqref>C7:I7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B97F-0AEF-425D-A534-EE2C659F831F}">
  <dimension ref="A1:H13"/>
  <sheetViews>
    <sheetView workbookViewId="0">
      <selection activeCell="A14" sqref="A14"/>
    </sheetView>
  </sheetViews>
  <sheetFormatPr defaultRowHeight="14.5" x14ac:dyDescent="0.35"/>
  <cols>
    <col min="1" max="1" width="21.1796875" bestFit="1" customWidth="1"/>
    <col min="2" max="2" width="16.7265625" bestFit="1" customWidth="1"/>
    <col min="4" max="4" width="9.7265625" bestFit="1" customWidth="1"/>
    <col min="5" max="5" width="22.1796875" customWidth="1"/>
    <col min="6" max="6" width="24.7265625" customWidth="1"/>
    <col min="7" max="7" width="21.54296875" bestFit="1" customWidth="1"/>
    <col min="8" max="9" width="28.81640625" bestFit="1" customWidth="1"/>
  </cols>
  <sheetData>
    <row r="1" spans="1:8" x14ac:dyDescent="0.35">
      <c r="A1" s="54" t="s">
        <v>1</v>
      </c>
      <c r="B1" s="54" t="s">
        <v>2</v>
      </c>
      <c r="D1" s="54" t="s">
        <v>21</v>
      </c>
      <c r="E1" s="54" t="s">
        <v>29</v>
      </c>
      <c r="G1" s="54" t="s">
        <v>3</v>
      </c>
      <c r="H1" s="54" t="s">
        <v>63</v>
      </c>
    </row>
    <row r="2" spans="1:8" x14ac:dyDescent="0.35">
      <c r="A2" s="55">
        <v>50000</v>
      </c>
      <c r="B2" s="55">
        <v>1000</v>
      </c>
      <c r="D2" s="55">
        <v>225000</v>
      </c>
      <c r="E2" s="55">
        <v>20000</v>
      </c>
      <c r="G2" s="54" t="s">
        <v>20</v>
      </c>
      <c r="H2" s="56">
        <v>0.5</v>
      </c>
    </row>
    <row r="3" spans="1:8" x14ac:dyDescent="0.35">
      <c r="A3" s="55">
        <v>55000</v>
      </c>
      <c r="B3" s="55">
        <v>1500</v>
      </c>
      <c r="D3" s="55">
        <v>400000</v>
      </c>
      <c r="E3" s="55">
        <v>40000</v>
      </c>
      <c r="G3" s="54" t="s">
        <v>30</v>
      </c>
      <c r="H3" s="56">
        <v>0.8</v>
      </c>
    </row>
    <row r="4" spans="1:8" x14ac:dyDescent="0.35">
      <c r="A4" s="55">
        <v>75000</v>
      </c>
      <c r="B4" s="55">
        <v>2500</v>
      </c>
      <c r="D4" s="55">
        <v>650000</v>
      </c>
      <c r="E4" s="55">
        <v>75000</v>
      </c>
      <c r="G4" s="54" t="s">
        <v>17</v>
      </c>
      <c r="H4" s="56">
        <v>1</v>
      </c>
    </row>
    <row r="5" spans="1:8" x14ac:dyDescent="0.35">
      <c r="A5" s="55">
        <v>100000</v>
      </c>
      <c r="B5" s="55">
        <v>4000</v>
      </c>
      <c r="D5" s="55">
        <v>900000</v>
      </c>
      <c r="E5" s="55">
        <v>90000</v>
      </c>
    </row>
    <row r="6" spans="1:8" x14ac:dyDescent="0.35">
      <c r="D6" s="55">
        <v>1500000</v>
      </c>
      <c r="E6" s="55">
        <v>135000</v>
      </c>
    </row>
    <row r="7" spans="1:8" x14ac:dyDescent="0.35">
      <c r="D7" s="55">
        <v>2000000</v>
      </c>
      <c r="E7" s="55">
        <v>175000</v>
      </c>
    </row>
    <row r="8" spans="1:8" x14ac:dyDescent="0.35">
      <c r="A8" t="s">
        <v>48</v>
      </c>
    </row>
    <row r="9" spans="1:8" x14ac:dyDescent="0.35">
      <c r="A9" t="s">
        <v>64</v>
      </c>
      <c r="E9" t="s">
        <v>65</v>
      </c>
    </row>
    <row r="10" spans="1:8" x14ac:dyDescent="0.35">
      <c r="A10" t="s">
        <v>19</v>
      </c>
      <c r="E10" t="s">
        <v>66</v>
      </c>
    </row>
    <row r="11" spans="1:8" x14ac:dyDescent="0.35">
      <c r="A11" t="s">
        <v>18</v>
      </c>
      <c r="E11" t="s">
        <v>67</v>
      </c>
    </row>
    <row r="12" spans="1:8" x14ac:dyDescent="0.35">
      <c r="A12" t="s">
        <v>16</v>
      </c>
    </row>
    <row r="13" spans="1:8" x14ac:dyDescent="0.35">
      <c r="A1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7043-E6F5-4D25-812F-87B2551DD657}">
  <dimension ref="A1:E7"/>
  <sheetViews>
    <sheetView workbookViewId="0">
      <selection activeCell="E2" sqref="E2"/>
    </sheetView>
  </sheetViews>
  <sheetFormatPr defaultRowHeight="14.5" x14ac:dyDescent="0.35"/>
  <cols>
    <col min="1" max="1" width="10.26953125" bestFit="1" customWidth="1"/>
    <col min="3" max="3" width="42.54296875" bestFit="1" customWidth="1"/>
    <col min="4" max="4" width="12.7265625" bestFit="1" customWidth="1"/>
  </cols>
  <sheetData>
    <row r="1" spans="1:5" x14ac:dyDescent="0.35">
      <c r="A1" t="s">
        <v>4</v>
      </c>
      <c r="B1" t="s">
        <v>4</v>
      </c>
      <c r="C1" t="s">
        <v>14</v>
      </c>
      <c r="D1" t="s">
        <v>53</v>
      </c>
      <c r="E1" t="s">
        <v>52</v>
      </c>
    </row>
    <row r="2" spans="1:5" x14ac:dyDescent="0.35">
      <c r="A2" t="s">
        <v>6</v>
      </c>
      <c r="B2" s="1" t="s">
        <v>13</v>
      </c>
      <c r="C2" t="s">
        <v>19</v>
      </c>
      <c r="D2" t="s">
        <v>54</v>
      </c>
    </row>
    <row r="3" spans="1:5" x14ac:dyDescent="0.35">
      <c r="A3" t="s">
        <v>7</v>
      </c>
      <c r="B3" t="s">
        <v>5</v>
      </c>
      <c r="C3" t="s">
        <v>18</v>
      </c>
    </row>
    <row r="4" spans="1:5" x14ac:dyDescent="0.35">
      <c r="A4" t="s">
        <v>8</v>
      </c>
      <c r="B4" t="s">
        <v>11</v>
      </c>
      <c r="C4" t="s">
        <v>16</v>
      </c>
    </row>
    <row r="5" spans="1:5" x14ac:dyDescent="0.35">
      <c r="A5" t="s">
        <v>9</v>
      </c>
      <c r="B5" t="s">
        <v>12</v>
      </c>
      <c r="C5" t="s">
        <v>15</v>
      </c>
    </row>
    <row r="6" spans="1:5" x14ac:dyDescent="0.35">
      <c r="A6" t="s">
        <v>10</v>
      </c>
      <c r="C6" t="s">
        <v>39</v>
      </c>
    </row>
    <row r="7" spans="1:5" x14ac:dyDescent="0.35">
      <c r="C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INCENTIVE CALCULATOR</vt:lpstr>
      <vt:lpstr>Sheet2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Rajendra Ahire/Sales &amp; Distrn.</dc:creator>
  <cp:lastModifiedBy>Satnam Singh Bhengura/DM - Loyality</cp:lastModifiedBy>
  <dcterms:created xsi:type="dcterms:W3CDTF">2025-12-05T05:12:02Z</dcterms:created>
  <dcterms:modified xsi:type="dcterms:W3CDTF">2026-01-12T09:15:32Z</dcterms:modified>
</cp:coreProperties>
</file>